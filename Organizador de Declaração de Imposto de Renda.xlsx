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fern\Downloads\"/>
    </mc:Choice>
  </mc:AlternateContent>
  <xr:revisionPtr revIDLastSave="0" documentId="8_{E403839C-0F19-4EFE-AB68-2EF8CBDF84FA}" xr6:coauthVersionLast="47" xr6:coauthVersionMax="47" xr10:uidLastSave="{00000000-0000-0000-0000-000000000000}"/>
  <bookViews>
    <workbookView xWindow="-108" yWindow="-108" windowWidth="23256" windowHeight="13896" tabRatio="784" xr2:uid="{21AF5686-43DE-436F-830C-EAB08FC5D1D8}"/>
  </bookViews>
  <sheets>
    <sheet name="INÍCIO" sheetId="6" r:id="rId1"/>
    <sheet name="TITULAR" sheetId="1" r:id="rId2"/>
    <sheet name="INFORMES" sheetId="2" r:id="rId3"/>
    <sheet name="NOTAS" sheetId="3" r:id="rId4"/>
    <sheet name="TABELAS" sheetId="5" state="hidden" r:id="rId5"/>
    <sheet name="DOCUMENTAÇÃO" sheetId="7" r:id="rId6"/>
  </sheets>
  <definedNames>
    <definedName name="ListaBancos">TABELAS!$A$2:$A$51</definedName>
    <definedName name="ListaCategorias">TABELAS!$B$2:$B$8</definedName>
    <definedName name="ListaSimNao">TABELAS!$C$2:$C$3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D18" i="6"/>
  <c r="D17" i="6"/>
  <c r="I16" i="6"/>
  <c r="D16" i="6"/>
  <c r="H11" i="6"/>
  <c r="I17" i="6"/>
  <c r="I15" i="6"/>
  <c r="D15" i="6"/>
  <c r="E11" i="6"/>
  <c r="B11" i="6"/>
  <c r="H6" i="6"/>
  <c r="E6" i="6"/>
  <c r="B6" i="6"/>
  <c r="C7" i="2"/>
</calcChain>
</file>

<file path=xl/sharedStrings.xml><?xml version="1.0" encoding="utf-8"?>
<sst xmlns="http://schemas.openxmlformats.org/spreadsheetml/2006/main" count="205" uniqueCount="168">
  <si>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</si>
  <si>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</si>
  <si>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</si>
  <si>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</si>
  <si>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</si>
  <si>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</si>
  <si>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</si>
  <si>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</si>
  <si>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</si>
  <si>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</si>
  <si>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</si>
  <si>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</si>
  <si>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</si>
  <si>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</si>
  <si>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</si>
  <si>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</si>
  <si>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</si>
  <si>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</si>
  <si>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</si>
  <si>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</si>
  <si>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</si>
  <si>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</si>
  <si>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</si>
  <si>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</si>
  <si>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</si>
  <si>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</si>
  <si>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</si>
  <si>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</si>
  <si>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</si>
  <si>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</si>
  <si>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</si>
  <si>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</si>
  <si>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</si>
  <si>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</si>
  <si>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</si>
  <si>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</si>
  <si>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</si>
  <si>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</si>
  <si>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</si>
  <si>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</si>
  <si>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</si>
  <si>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</si>
  <si>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</si>
  <si>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</si>
  <si>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</si>
  <si>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</si>
  <si>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</si>
  <si>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</si>
  <si>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</si>
  <si>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</si>
  <si>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</si>
  <si>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</si>
  <si>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</si>
  <si>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</si>
  <si>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</si>
  <si>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</si>
  <si>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</si>
  <si>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</si>
  <si>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</si>
  <si>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</si>
  <si>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</si>
  <si>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</si>
  <si>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</si>
  <si>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</si>
  <si>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</si>
  <si>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</si>
  <si>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</si>
  <si>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</si>
  <si>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</si>
  <si>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</si>
  <si>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</si>
  <si>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</si>
  <si>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</si>
  <si>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</si>
  <si>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</si>
  <si>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</si>
  <si>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</si>
  <si>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</si>
  <si>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</si>
  <si>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</si>
  <si>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</si>
  <si>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</si>
  <si>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</si>
  <si>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</si>
  <si>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</si>
  <si>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</si>
  <si>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</si>
  <si>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</si>
  <si>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</si>
  <si>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</si>
  <si>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</si>
  <si>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AGREGADOR DE IMPOSTO DE RENDA</t>
  </si>
  <si>
    <t>Central de organização, validação e conferência dos dados da declaração</t>
  </si>
  <si>
    <t>SALDOS BANCÁRIOS</t>
  </si>
  <si>
    <t>ENTRADAS REGISTRADAS</t>
  </si>
  <si>
    <t>LANÇAMENTOS</t>
  </si>
  <si>
    <t>ANEXOS INFORMADOS</t>
  </si>
  <si>
    <t>CADASTRO PREENCHIDO</t>
  </si>
  <si>
    <t>STATUS GERAL</t>
  </si>
  <si>
    <t>ÁREA</t>
  </si>
  <si>
    <t>INDICADOR</t>
  </si>
  <si>
    <t>STATUS</t>
  </si>
  <si>
    <t>Dados do titular</t>
  </si>
  <si>
    <t>Informes bancários</t>
  </si>
  <si>
    <t>Entradas mensais</t>
  </si>
  <si>
    <t>Documentos anexos</t>
  </si>
  <si>
    <t>COMO USAR</t>
  </si>
  <si>
    <t>1. TITULAR — revise os dados pessoais e responda aos campos SIM/NÃO.</t>
  </si>
  <si>
    <t>2. INFORMES — selecione cada banco, informe o saldo e registre o nome do anexo.</t>
  </si>
  <si>
    <t>3. NOTAS — inclua as entradas mensais com data, categoria e valor.</t>
  </si>
  <si>
    <t>4. Volte a esta aba e confirme se todos os status estão como OK.</t>
  </si>
  <si>
    <t>DOCUMENTAÇÃO DO PROJETO</t>
  </si>
  <si>
    <t>Agregador de dados para declaração de Imposto de Renda desenvolvido em Excel</t>
  </si>
  <si>
    <t>VISÃO GERAL</t>
  </si>
  <si>
    <t>Objetivo</t>
  </si>
  <si>
    <t>Centralizar dados pessoais, informes bancários, anexos e entradas mensais em uma interface simples e validada.</t>
  </si>
  <si>
    <t>Público-alvo</t>
  </si>
  <si>
    <t>Pessoas que desejam preparar e conferir as informações antes de preencher a declaração de Imposto de Renda.</t>
  </si>
  <si>
    <t>FUNCIONALIDADES</t>
  </si>
  <si>
    <t>Painel inicial</t>
  </si>
  <si>
    <t>Indicadores automáticos de saldos, entradas, lançamentos, anexos e completude cadastral.</t>
  </si>
  <si>
    <t>Cadastro do titular</t>
  </si>
  <si>
    <t>Organização dos dados pessoais com respostas padronizadas para campos de decisão.</t>
  </si>
  <si>
    <t>Seleção validada de instituições, valores monetários e identificação de anexos.</t>
  </si>
  <si>
    <t>Tabela estruturada para registrar data, categoria e valor de cada receita.</t>
  </si>
  <si>
    <t>Validações</t>
  </si>
  <si>
    <t>Listas de seleção, restrição de valores negativos, datas válidas e mensagens de orientação.</t>
  </si>
  <si>
    <t>ESTRUTURA DAS ABAS</t>
  </si>
  <si>
    <t>INÍCIO</t>
  </si>
  <si>
    <t>Resumo executivo e checklist de conferência.</t>
  </si>
  <si>
    <t>TITULAR</t>
  </si>
  <si>
    <t>Dados cadastrais da pessoa física.</t>
  </si>
  <si>
    <t>INFORMES</t>
  </si>
  <si>
    <t>Saldos e documentos das instituições financeiras.</t>
  </si>
  <si>
    <t>NOTAS</t>
  </si>
  <si>
    <t>Registro das entradas mensais de receita.</t>
  </si>
  <si>
    <t>TABELAS</t>
  </si>
  <si>
    <t>Listas auxiliares utilizadas nas validações.</t>
  </si>
  <si>
    <t>DOCUMENTAÇÃO</t>
  </si>
  <si>
    <t>Descrição técnica e roteiro de publicação.</t>
  </si>
  <si>
    <t>RECURSOS DO EXCEL</t>
  </si>
  <si>
    <t>Tabelas estruturadas</t>
  </si>
  <si>
    <t>Facilitam novos lançamentos e mantêm a apresentação consistente.</t>
  </si>
  <si>
    <t>Fórmulas</t>
  </si>
  <si>
    <t>SUM, COUNT, COUNTA, COUNTIF, IF, AND e TEXT alimentam os indicadores de forma dinâmica.</t>
  </si>
  <si>
    <t>Validação de dados</t>
  </si>
  <si>
    <t>Evita categorias inválidas, bancos inexistentes na lista e valores negativos.</t>
  </si>
  <si>
    <t>Formatação condicional</t>
  </si>
  <si>
    <t>Sinaliza visualmente os status OK e REVISAR.</t>
  </si>
  <si>
    <t>PUBLICAÇÃO NO GITHUB</t>
  </si>
  <si>
    <t>1. Repositório</t>
  </si>
  <si>
    <t>Crie um repositório público com nome descritivo, por exemplo: agregador-imposto-renda-excel.</t>
  </si>
  <si>
    <t>2. Arquivos</t>
  </si>
  <si>
    <t>Inclua a planilha .xlsx, um README.md e uma pasta /images com capturas das principais abas.</t>
  </si>
  <si>
    <t>3. README</t>
  </si>
  <si>
    <t>Documente objetivo, funcionalidades, estrutura, instruções de uso e recursos do Excel aplicados.</t>
  </si>
  <si>
    <t>4. Segurança</t>
  </si>
  <si>
    <t>Antes de publicar, substitua CPF, telefone, e-mail, endereço e dados bancários reais por dados fictícios.</t>
  </si>
  <si>
    <t>5. Entrega</t>
  </si>
  <si>
    <t>Copie a URL do repositório e envie na plataforma DIO conforme as orientações do desafio.</t>
  </si>
  <si>
    <t>categorias</t>
  </si>
  <si>
    <t>PRÓ-LABORE</t>
  </si>
  <si>
    <t>ALUGUEL</t>
  </si>
  <si>
    <t>PENSÃO</t>
  </si>
  <si>
    <t>APOSENTADORIA</t>
  </si>
  <si>
    <t>RENDIMENTOS</t>
  </si>
  <si>
    <t>OUTROS</t>
  </si>
  <si>
    <t>sim_nao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</si>
</sst>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203864"/>
      <name val="Aptos Narrow"/>
      <family val="2"/>
      <scheme val="minor"/>
    </font>
    <font>
      <b/>
      <sz val="18"/>
      <color rgb="FF203864"/>
      <name val="Aptos Narrow"/>
      <family val="2"/>
      <scheme val="minor"/>
    </font>
    <font>
      <sz val="11"/>
      <color rgb="FF203864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1"/>
      <color rgb="FFFFFFFF"/>
      <name val="Segoe UI Light"/>
      <family val="2"/>
    </font>
    <font>
      <u/>
      <sz val="11"/>
      <color rgb="FF203864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11"/>
      <color rgb="FF203864"/>
      <name val="Segoe UI Light"/>
      <family val="2"/>
    </font>
    <font>
      <b/>
      <sz val="12"/>
      <color rgb="FF20386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F8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0" fillId="3" borderId="0" xfId="0" applyFill="1"/>
    <xf numFmtId="0" fontId="6" fillId="0" borderId="0" xfId="0" applyFont="1" applyAlignment="1">
      <alignment horizontal="center"/>
    </xf>
    <xf numFmtId="0" fontId="0" fillId="4" borderId="0" xfId="0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68" fontId="13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" fontId="13" fillId="7" borderId="0" xfId="0" applyNumberFormat="1" applyFont="1" applyFill="1" applyAlignment="1">
      <alignment horizontal="center" vertical="center"/>
    </xf>
    <xf numFmtId="9" fontId="13" fillId="7" borderId="0" xfId="0" applyNumberFormat="1" applyFont="1" applyFill="1" applyAlignment="1">
      <alignment horizontal="center" vertical="center"/>
    </xf>
    <xf numFmtId="0" fontId="9" fillId="5" borderId="0" xfId="0" applyFont="1" applyFill="1"/>
    <xf numFmtId="0" fontId="0" fillId="8" borderId="0" xfId="0" applyFill="1"/>
    <xf numFmtId="0" fontId="0" fillId="8" borderId="0" xfId="0" applyFill="1" applyBorder="1"/>
    <xf numFmtId="0" fontId="14" fillId="4" borderId="0" xfId="0" applyFont="1" applyFill="1"/>
    <xf numFmtId="0" fontId="14" fillId="4" borderId="0" xfId="0" applyFont="1" applyFill="1" applyBorder="1"/>
    <xf numFmtId="0" fontId="15" fillId="5" borderId="3" xfId="2" applyFont="1" applyFill="1" applyBorder="1"/>
    <xf numFmtId="0" fontId="12" fillId="7" borderId="4" xfId="0" applyFont="1" applyFill="1" applyBorder="1" applyAlignment="1">
      <alignment horizontal="left" vertical="center" indent="3"/>
    </xf>
    <xf numFmtId="0" fontId="16" fillId="6" borderId="2" xfId="0" applyFont="1" applyFill="1" applyBorder="1" applyAlignment="1">
      <alignment horizontal="right"/>
    </xf>
    <xf numFmtId="0" fontId="3" fillId="8" borderId="2" xfId="3" applyFill="1" applyBorder="1" applyAlignment="1" applyProtection="1">
      <alignment horizontal="left"/>
      <protection locked="0"/>
    </xf>
    <xf numFmtId="0" fontId="14" fillId="8" borderId="2" xfId="3" applyFont="1" applyFill="1" applyBorder="1" applyAlignment="1" applyProtection="1">
      <alignment horizontal="left"/>
      <protection locked="0"/>
    </xf>
    <xf numFmtId="164" fontId="14" fillId="8" borderId="2" xfId="3" applyNumberFormat="1" applyFont="1" applyFill="1" applyBorder="1" applyAlignment="1" applyProtection="1">
      <alignment horizontal="left"/>
      <protection locked="0"/>
    </xf>
    <xf numFmtId="14" fontId="14" fillId="8" borderId="2" xfId="3" applyNumberFormat="1" applyFont="1" applyFill="1" applyBorder="1" applyAlignment="1" applyProtection="1">
      <alignment horizontal="left"/>
      <protection locked="0"/>
    </xf>
    <xf numFmtId="165" fontId="14" fillId="8" borderId="2" xfId="3" applyNumberFormat="1" applyFont="1" applyFill="1" applyBorder="1" applyAlignment="1" applyProtection="1">
      <alignment horizontal="left"/>
      <protection locked="0"/>
    </xf>
    <xf numFmtId="166" fontId="14" fillId="8" borderId="2" xfId="3" applyNumberFormat="1" applyFont="1" applyFill="1" applyBorder="1" applyAlignment="1" applyProtection="1">
      <alignment horizontal="left"/>
      <protection locked="0"/>
    </xf>
    <xf numFmtId="167" fontId="14" fillId="8" borderId="2" xfId="3" applyNumberFormat="1" applyFont="1" applyFill="1" applyBorder="1" applyAlignment="1" applyProtection="1">
      <alignment horizontal="left"/>
      <protection locked="0"/>
    </xf>
    <xf numFmtId="0" fontId="17" fillId="8" borderId="2" xfId="4" applyFont="1" applyFill="1" applyBorder="1" applyAlignment="1" applyProtection="1">
      <alignment horizontal="left"/>
      <protection locked="0"/>
    </xf>
    <xf numFmtId="0" fontId="18" fillId="6" borderId="0" xfId="0" applyFont="1" applyFill="1"/>
    <xf numFmtId="0" fontId="9" fillId="6" borderId="0" xfId="0" applyFont="1" applyFill="1"/>
    <xf numFmtId="0" fontId="19" fillId="7" borderId="2" xfId="0" applyFont="1" applyFill="1" applyBorder="1" applyAlignment="1">
      <alignment horizontal="right"/>
    </xf>
    <xf numFmtId="168" fontId="3" fillId="8" borderId="2" xfId="1" applyNumberFormat="1" applyFont="1" applyFill="1" applyBorder="1" applyAlignment="1" applyProtection="1">
      <alignment horizontal="left"/>
      <protection locked="0"/>
    </xf>
    <xf numFmtId="0" fontId="16" fillId="5" borderId="0" xfId="0" applyFont="1" applyFill="1"/>
    <xf numFmtId="0" fontId="8" fillId="5" borderId="0" xfId="0" applyFont="1" applyFill="1"/>
    <xf numFmtId="168" fontId="20" fillId="7" borderId="0" xfId="3" applyNumberFormat="1" applyFont="1" applyFill="1" applyAlignment="1">
      <alignment horizontal="center"/>
    </xf>
    <xf numFmtId="0" fontId="20" fillId="7" borderId="0" xfId="3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169" fontId="4" fillId="8" borderId="0" xfId="0" applyNumberFormat="1" applyFont="1" applyFill="1" applyAlignment="1" applyProtection="1">
      <alignment horizontal="center"/>
      <protection locked="0"/>
    </xf>
    <xf numFmtId="0" fontId="4" fillId="8" borderId="0" xfId="0" applyFont="1" applyFill="1" applyAlignment="1" applyProtection="1">
      <alignment horizontal="center"/>
      <protection locked="0"/>
    </xf>
    <xf numFmtId="168" fontId="4" fillId="8" borderId="0" xfId="0" applyNumberFormat="1" applyFont="1" applyFill="1" applyAlignment="1" applyProtection="1">
      <alignment horizontal="center"/>
      <protection locked="0"/>
    </xf>
    <xf numFmtId="0" fontId="11" fillId="5" borderId="0" xfId="0" applyFont="1" applyFill="1"/>
    <xf numFmtId="0" fontId="12" fillId="0" borderId="0" xfId="0" applyFont="1"/>
    <xf numFmtId="0" fontId="9" fillId="6" borderId="0" xfId="0" applyFont="1" applyFill="1"/>
    <xf numFmtId="0" fontId="7" fillId="4" borderId="0" xfId="0" applyFont="1" applyFill="1"/>
    <xf numFmtId="0" fontId="0" fillId="4" borderId="0" xfId="0" applyFill="1" applyAlignment="1">
      <alignment wrapText="1"/>
    </xf>
    <xf numFmtId="0" fontId="7" fillId="8" borderId="0" xfId="0" applyFont="1" applyFill="1"/>
    <xf numFmtId="0" fontId="0" fillId="8" borderId="0" xfId="0" applyFill="1" applyAlignment="1">
      <alignment wrapText="1"/>
    </xf>
    <xf numFmtId="0" fontId="14" fillId="8" borderId="0" xfId="0" applyFont="1" applyFill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9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4F8FC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rgb="FFF4F8FC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4F8FC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fill>
        <patternFill patternType="solid">
          <fgColor indexed="64"/>
          <bgColor rgb="FFF4F8FC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color rgb="FFA61B1B"/>
      </font>
      <fill>
        <patternFill patternType="solid">
          <fgColor indexed="64"/>
          <bgColor rgb="FFFCE8E6"/>
        </patternFill>
      </fill>
    </dxf>
    <dxf>
      <font>
        <b/>
        <i val="0"/>
        <color rgb="FF27632A"/>
      </font>
      <fill>
        <patternFill patternType="solid">
          <fgColor indexed="64"/>
          <bgColor rgb="FFD9EAD3"/>
        </patternFill>
      </fill>
    </dxf>
    <dxf>
      <font>
        <b/>
        <i val="0"/>
        <color rgb="FFA61B1B"/>
      </font>
      <fill>
        <patternFill patternType="solid">
          <fgColor indexed="64"/>
          <bgColor rgb="FFFCE8E6"/>
        </patternFill>
      </fill>
    </dxf>
    <dxf>
      <font>
        <b/>
        <i val="0"/>
        <color rgb="FF27632A"/>
      </font>
      <fill>
        <patternFill patternType="solid">
          <fgColor indexed="64"/>
          <bgColor rgb="FFD9EAD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8" dataDxfId="0">
  <autoFilter ref="C8:E35" xr:uid="{D0452CD4-D09D-4472-816A-A53383470A2F}"/>
  <tableColumns count="3">
    <tableColumn id="1" xr3:uid="{D31EA280-7853-409C-A8EE-1C6F5F94A34F}" name="DATA" dataDxfId="3"/>
    <tableColumn id="2" xr3:uid="{F34F7F55-794C-46B5-A546-FE1070EE20E7}" name="CATEGORIA" dataDxfId="2"/>
    <tableColumn id="3" xr3:uid="{9B7F950C-CEE2-4840-870F-46DA94161C69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536B-EF3D-493D-9281-93DB3FF6FA24}">
  <dimension ref="A1:J30"/>
  <sheetViews>
    <sheetView tabSelected="1" workbookViewId="0">
      <selection activeCell="B11" sqref="B11:D12"/>
    </sheetView>
  </sheetViews>
  <sheetFormatPr defaultRowHeight="14.4" x14ac:dyDescent="0.3"/>
  <cols>
    <col min="2" max="10" width="11.44140625" customWidth="1"/>
  </cols>
  <sheetData>
    <row r="1" spans="1:10" x14ac:dyDescent="0.3">
      <c r="A1" s="3"/>
      <c r="B1" s="3"/>
      <c r="C1" s="4" t="s">
        <v>128</v>
      </c>
      <c r="D1" s="4" t="s">
        <v>130</v>
      </c>
      <c r="E1" s="4" t="s">
        <v>132</v>
      </c>
      <c r="F1" s="4" t="s">
        <v>134</v>
      </c>
      <c r="G1" s="4" t="s">
        <v>138</v>
      </c>
      <c r="H1" s="3"/>
      <c r="I1" s="3"/>
      <c r="J1" s="3"/>
    </row>
    <row r="2" spans="1:10" ht="31.95" customHeight="1" x14ac:dyDescent="0.5">
      <c r="A2" s="3"/>
      <c r="B2" s="7" t="s">
        <v>91</v>
      </c>
      <c r="C2" s="7"/>
      <c r="D2" s="7"/>
      <c r="E2" s="7"/>
      <c r="F2" s="7"/>
      <c r="G2" s="7"/>
      <c r="H2" s="7"/>
      <c r="I2" s="7"/>
      <c r="J2" s="7"/>
    </row>
    <row r="3" spans="1:10" ht="24" customHeight="1" x14ac:dyDescent="0.3">
      <c r="A3" s="3"/>
      <c r="B3" s="8" t="s">
        <v>92</v>
      </c>
      <c r="C3" s="8"/>
      <c r="D3" s="8"/>
      <c r="E3" s="8"/>
      <c r="F3" s="8"/>
      <c r="G3" s="8"/>
      <c r="H3" s="8"/>
      <c r="I3" s="8"/>
      <c r="J3" s="8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9" t="s">
        <v>93</v>
      </c>
      <c r="C5" s="9"/>
      <c r="D5" s="9"/>
      <c r="E5" s="9" t="s">
        <v>94</v>
      </c>
      <c r="F5" s="9"/>
      <c r="G5" s="9"/>
      <c r="H5" s="9" t="s">
        <v>95</v>
      </c>
      <c r="I5" s="9"/>
      <c r="J5" s="9"/>
    </row>
    <row r="6" spans="1:10" ht="28.05" customHeight="1" x14ac:dyDescent="0.3">
      <c r="A6" s="3"/>
      <c r="B6" s="10">
        <f>INFORMES!C7</f>
        <v>58377777</v>
      </c>
      <c r="C6" s="11"/>
      <c r="D6" s="11"/>
      <c r="E6" s="10">
        <f>SUM(NOTAS!E9:E35)</f>
        <v>3000</v>
      </c>
      <c r="F6" s="11"/>
      <c r="G6" s="11"/>
      <c r="H6" s="12">
        <f>COUNT(NOTAS!C9:C35)</f>
        <v>1</v>
      </c>
      <c r="I6" s="11"/>
      <c r="J6" s="11"/>
    </row>
    <row r="7" spans="1:10" ht="28.05" customHeight="1" x14ac:dyDescent="0.3">
      <c r="A7" s="3"/>
      <c r="B7" s="11"/>
      <c r="C7" s="11"/>
      <c r="D7" s="11"/>
      <c r="E7" s="11"/>
      <c r="F7" s="11"/>
      <c r="G7" s="11"/>
      <c r="H7" s="11"/>
      <c r="I7" s="11"/>
      <c r="J7" s="11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9" t="s">
        <v>96</v>
      </c>
      <c r="C10" s="9"/>
      <c r="D10" s="9"/>
      <c r="E10" s="9" t="s">
        <v>97</v>
      </c>
      <c r="F10" s="9"/>
      <c r="G10" s="9"/>
      <c r="H10" s="9" t="s">
        <v>98</v>
      </c>
      <c r="I10" s="9"/>
      <c r="J10" s="9"/>
    </row>
    <row r="11" spans="1:10" ht="28.05" customHeight="1" x14ac:dyDescent="0.3">
      <c r="A11" s="3"/>
      <c r="B11" s="13">
        <f>(COUNTIF(INFORMES!D12,"&lt;&gt;")+COUNTIF(INFORMES!D17,"&lt;&gt;")+COUNTIF(INFORMES!D22,"&lt;&gt;"))/3</f>
        <v>1</v>
      </c>
      <c r="C11" s="11"/>
      <c r="D11" s="11"/>
      <c r="E11" s="13">
        <f>COUNTA(TITULAR!D6:D19)/14</f>
        <v>1</v>
      </c>
      <c r="F11" s="11"/>
      <c r="G11" s="11"/>
      <c r="H11" s="11" t="str">
        <f>IF(AND(COUNTA(TITULAR!D6:D16)&gt;=10,COUNTA(TITULAR!D17:D19)=3,COUNT(INFORMES!D11,INFORMES!D16,INFORMES!D21)=3,COUNT(NOTAS!C9:C35)&gt;0),"PRONTO","REVISAR")</f>
        <v>PRONTO</v>
      </c>
      <c r="I11" s="11"/>
      <c r="J11" s="11"/>
    </row>
    <row r="12" spans="1:10" ht="28.05" customHeight="1" x14ac:dyDescent="0.3">
      <c r="A12" s="3"/>
      <c r="B12" s="11"/>
      <c r="C12" s="11"/>
      <c r="D12" s="11"/>
      <c r="E12" s="11"/>
      <c r="F12" s="11"/>
      <c r="G12" s="11"/>
      <c r="H12" s="11"/>
      <c r="I12" s="11"/>
      <c r="J12" s="11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14" t="s">
        <v>99</v>
      </c>
      <c r="C14" s="14"/>
      <c r="D14" s="14" t="s">
        <v>100</v>
      </c>
      <c r="E14" s="14"/>
      <c r="F14" s="14"/>
      <c r="G14" s="14"/>
      <c r="H14" s="14"/>
      <c r="I14" s="14" t="s">
        <v>101</v>
      </c>
      <c r="J14" s="14"/>
    </row>
    <row r="15" spans="1:10" x14ac:dyDescent="0.3">
      <c r="A15" s="3"/>
      <c r="B15" s="15" t="s">
        <v>102</v>
      </c>
      <c r="C15" s="15"/>
      <c r="D15" s="15" t="str">
        <f>COUNTA(TITULAR!D6:D19)&amp;" de 14 campos preenchidos"</f>
        <v>14 de 14 campos preenchidos</v>
      </c>
      <c r="E15" s="15"/>
      <c r="F15" s="15"/>
      <c r="G15" s="15"/>
      <c r="H15" s="15"/>
      <c r="I15" s="15" t="str">
        <f>IF(COUNTA(TITULAR!D6:D19)&gt;=12,"OK","REVISAR")</f>
        <v>OK</v>
      </c>
      <c r="J15" s="15"/>
    </row>
    <row r="16" spans="1:10" x14ac:dyDescent="0.3">
      <c r="A16" s="3"/>
      <c r="B16" s="15" t="s">
        <v>103</v>
      </c>
      <c r="C16" s="15"/>
      <c r="D16" s="15" t="str">
        <f>COUNT(INFORMES!D11,INFORMES!D16,INFORMES!D21)&amp;" de 3 valores informados"</f>
        <v>3 de 3 valores informados</v>
      </c>
      <c r="E16" s="15"/>
      <c r="F16" s="15"/>
      <c r="G16" s="15"/>
      <c r="H16" s="15"/>
      <c r="I16" s="15" t="str">
        <f>IF(AND(COUNTA(INFORMES!D10,INFORMES!D15,INFORMES!D20)=3,COUNT(INFORMES!D11,INFORMES!D16,INFORMES!D21)=3),"OK","REVISAR")</f>
        <v>OK</v>
      </c>
      <c r="J16" s="15"/>
    </row>
    <row r="17" spans="1:10" x14ac:dyDescent="0.3">
      <c r="A17" s="3"/>
      <c r="B17" s="15" t="s">
        <v>104</v>
      </c>
      <c r="C17" s="15"/>
      <c r="D17" s="15" t="str">
        <f>COUNT(NOTAS!C9:C35)&amp;" lançamento(s) registrado(s)"</f>
        <v>1 lançamento(s) registrado(s)</v>
      </c>
      <c r="E17" s="15"/>
      <c r="F17" s="15"/>
      <c r="G17" s="15"/>
      <c r="H17" s="15"/>
      <c r="I17" s="15" t="str">
        <f>IF(COUNT(NOTAS!C9:C35)&gt;0,"OK","REVISAR")</f>
        <v>OK</v>
      </c>
      <c r="J17" s="15"/>
    </row>
    <row r="18" spans="1:10" x14ac:dyDescent="0.3">
      <c r="A18" s="3"/>
      <c r="B18" s="16" t="s">
        <v>105</v>
      </c>
      <c r="C18" s="16"/>
      <c r="D18" s="15" t="str">
        <f>COUNTA(INFORMES!D12,INFORMES!D17,INFORMES!D22)&amp;" de 3 anexos identificados"</f>
        <v>3 de 3 anexos identificados</v>
      </c>
      <c r="E18" s="15"/>
      <c r="F18" s="15"/>
      <c r="G18" s="15"/>
      <c r="H18" s="15"/>
      <c r="I18" s="15" t="str">
        <f>IF(COUNTA(INFORMES!D12,INFORMES!D17,INFORMES!D22)=3,"OK","REVISAR")</f>
        <v>OK</v>
      </c>
      <c r="J18" s="15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9" t="s">
        <v>106</v>
      </c>
      <c r="C21" s="9"/>
      <c r="D21" s="9"/>
      <c r="E21" s="9"/>
      <c r="F21" s="9"/>
      <c r="G21" s="9"/>
      <c r="H21" s="9"/>
      <c r="I21" s="9"/>
      <c r="J21" s="9"/>
    </row>
    <row r="22" spans="1:10" ht="22.95" customHeight="1" x14ac:dyDescent="0.3">
      <c r="A22" s="3"/>
      <c r="B22" s="17" t="s">
        <v>107</v>
      </c>
      <c r="C22" s="17"/>
      <c r="D22" s="17"/>
      <c r="E22" s="17"/>
      <c r="F22" s="17"/>
      <c r="G22" s="17"/>
      <c r="H22" s="17"/>
      <c r="I22" s="17"/>
      <c r="J22" s="17"/>
    </row>
    <row r="23" spans="1:10" ht="22.95" customHeight="1" x14ac:dyDescent="0.3">
      <c r="A23" s="3"/>
      <c r="B23" s="17" t="s">
        <v>108</v>
      </c>
      <c r="C23" s="17"/>
      <c r="D23" s="17"/>
      <c r="E23" s="17"/>
      <c r="F23" s="17"/>
      <c r="G23" s="17"/>
      <c r="H23" s="17"/>
      <c r="I23" s="17"/>
      <c r="J23" s="17"/>
    </row>
    <row r="24" spans="1:10" ht="22.95" customHeight="1" x14ac:dyDescent="0.3">
      <c r="A24" s="3"/>
      <c r="B24" s="18" t="s">
        <v>109</v>
      </c>
      <c r="C24" s="18"/>
      <c r="D24" s="18"/>
      <c r="E24" s="18"/>
      <c r="F24" s="18"/>
      <c r="G24" s="18"/>
      <c r="H24" s="18"/>
      <c r="I24" s="18"/>
      <c r="J24" s="18"/>
    </row>
    <row r="25" spans="1:10" ht="22.95" customHeight="1" x14ac:dyDescent="0.3">
      <c r="A25" s="3"/>
      <c r="B25" s="18" t="s">
        <v>110</v>
      </c>
      <c r="C25" s="18"/>
      <c r="D25" s="18"/>
      <c r="E25" s="18"/>
      <c r="F25" s="18"/>
      <c r="G25" s="18"/>
      <c r="H25" s="18"/>
      <c r="I25" s="18"/>
      <c r="J25" s="18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</sheetData>
  <mergeCells count="31">
    <mergeCell ref="B24:J24"/>
    <mergeCell ref="B25:J25"/>
    <mergeCell ref="B18:C18"/>
    <mergeCell ref="D18:H18"/>
    <mergeCell ref="I18:J18"/>
    <mergeCell ref="B21:J21"/>
    <mergeCell ref="B22:J22"/>
    <mergeCell ref="B23:J23"/>
    <mergeCell ref="B16:C16"/>
    <mergeCell ref="D16:H16"/>
    <mergeCell ref="I16:J16"/>
    <mergeCell ref="B17:C17"/>
    <mergeCell ref="D17:H17"/>
    <mergeCell ref="I17:J17"/>
    <mergeCell ref="H6:J7"/>
    <mergeCell ref="B11:D12"/>
    <mergeCell ref="E11:G12"/>
    <mergeCell ref="H11:J12"/>
    <mergeCell ref="B15:C15"/>
    <mergeCell ref="D15:H15"/>
    <mergeCell ref="I15:J15"/>
    <mergeCell ref="B2:J2"/>
    <mergeCell ref="B3:J3"/>
    <mergeCell ref="B5:D5"/>
    <mergeCell ref="E5:G5"/>
    <mergeCell ref="H5:J5"/>
    <mergeCell ref="B10:D10"/>
    <mergeCell ref="E10:G10"/>
    <mergeCell ref="H10:J10"/>
    <mergeCell ref="B6:D7"/>
    <mergeCell ref="E6:G7"/>
  </mergeCells>
  <conditionalFormatting sqref="I15:J18">
    <cfRule type="expression" dxfId="7" priority="1">
      <formula>$I15="OK"</formula>
    </cfRule>
  </conditionalFormatting>
  <conditionalFormatting sqref="I15:J18">
    <cfRule type="expression" dxfId="6" priority="2">
      <formula>$I15="REVISAR"</formula>
    </cfRule>
  </conditionalFormatting>
  <conditionalFormatting sqref="H11:J12">
    <cfRule type="expression" dxfId="5" priority="3">
      <formula>$H$11="PRONTO"</formula>
    </cfRule>
  </conditionalFormatting>
  <conditionalFormatting sqref="H11:J12">
    <cfRule type="expression" dxfId="4" priority="4">
      <formula>$H$11="REVISAR"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1:G19"/>
  <sheetViews>
    <sheetView showGridLines="0" showRowColHeaders="0" zoomScaleNormal="100" workbookViewId="0">
      <selection activeCell="D7" sqref="D7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1" spans="3:7" x14ac:dyDescent="0.3">
      <c r="C1" s="5" t="s">
        <v>128</v>
      </c>
      <c r="D1" s="5" t="s">
        <v>130</v>
      </c>
      <c r="E1" s="5" t="s">
        <v>132</v>
      </c>
      <c r="F1" s="5" t="s">
        <v>134</v>
      </c>
      <c r="G1" s="5" t="s">
        <v>138</v>
      </c>
    </row>
    <row r="3" spans="3:7" ht="20.399999999999999" thickBot="1" x14ac:dyDescent="0.45">
      <c r="C3" s="19" t="s">
        <v>14</v>
      </c>
      <c r="D3" s="19"/>
      <c r="E3" s="19"/>
    </row>
    <row r="4" spans="3:7" ht="22.05" customHeight="1" thickTop="1" x14ac:dyDescent="0.3">
      <c r="C4" s="20" t="s">
        <v>15</v>
      </c>
      <c r="D4" s="20"/>
      <c r="E4" s="20"/>
    </row>
    <row r="6" spans="3:7" ht="16.8" x14ac:dyDescent="0.4">
      <c r="C6" s="21" t="s">
        <v>0</v>
      </c>
      <c r="D6" s="23" t="s">
        <v>18</v>
      </c>
    </row>
    <row r="7" spans="3:7" ht="16.8" x14ac:dyDescent="0.4">
      <c r="C7" s="21" t="s">
        <v>1</v>
      </c>
      <c r="D7" s="24">
        <v>12312312398</v>
      </c>
    </row>
    <row r="8" spans="3:7" ht="16.8" x14ac:dyDescent="0.4">
      <c r="C8" s="21" t="s">
        <v>2</v>
      </c>
      <c r="D8" s="25">
        <v>34605</v>
      </c>
    </row>
    <row r="9" spans="3:7" ht="16.8" x14ac:dyDescent="0.4">
      <c r="C9" s="21" t="s">
        <v>3</v>
      </c>
      <c r="D9" s="23">
        <v>31713388</v>
      </c>
    </row>
    <row r="10" spans="3:7" ht="16.8" x14ac:dyDescent="0.4">
      <c r="C10" s="21" t="s">
        <v>4</v>
      </c>
      <c r="D10" s="23" t="s">
        <v>22</v>
      </c>
    </row>
    <row r="11" spans="3:7" ht="16.8" x14ac:dyDescent="0.4">
      <c r="C11" s="21" t="s">
        <v>5</v>
      </c>
      <c r="D11" s="23" t="s">
        <v>21</v>
      </c>
    </row>
    <row r="12" spans="3:7" ht="16.8" x14ac:dyDescent="0.4">
      <c r="C12" s="21" t="s">
        <v>6</v>
      </c>
      <c r="D12" s="23" t="s">
        <v>20</v>
      </c>
    </row>
    <row r="13" spans="3:7" ht="16.8" x14ac:dyDescent="0.4">
      <c r="C13" s="21" t="s">
        <v>7</v>
      </c>
      <c r="D13" s="26">
        <v>987654321</v>
      </c>
    </row>
    <row r="14" spans="3:7" ht="16.8" x14ac:dyDescent="0.4">
      <c r="C14" s="21" t="s">
        <v>8</v>
      </c>
      <c r="D14" s="27">
        <v>1131713388</v>
      </c>
    </row>
    <row r="15" spans="3:7" ht="16.8" x14ac:dyDescent="0.4">
      <c r="C15" s="21" t="s">
        <v>9</v>
      </c>
      <c r="D15" s="28">
        <v>11931713388</v>
      </c>
    </row>
    <row r="16" spans="3:7" ht="16.8" x14ac:dyDescent="0.4">
      <c r="C16" s="21" t="s">
        <v>10</v>
      </c>
      <c r="D16" s="29" t="s">
        <v>19</v>
      </c>
    </row>
    <row r="17" spans="3:4" ht="16.8" x14ac:dyDescent="0.4">
      <c r="C17" s="21" t="s">
        <v>11</v>
      </c>
      <c r="D17" s="23" t="s">
        <v>16</v>
      </c>
    </row>
    <row r="18" spans="3:4" ht="16.8" x14ac:dyDescent="0.4">
      <c r="C18" s="21" t="s">
        <v>12</v>
      </c>
      <c r="D18" s="23" t="s">
        <v>17</v>
      </c>
    </row>
    <row r="19" spans="3:4" ht="16.8" x14ac:dyDescent="0.4">
      <c r="C19" s="21" t="s">
        <v>13</v>
      </c>
      <c r="D19" s="23" t="s">
        <v>17</v>
      </c>
    </row>
  </sheetData>
  <sheetProtection sheet="1" objects="1" scenarios="1"/>
  <mergeCells count="1">
    <mergeCell ref="C4:E4"/>
  </mergeCells>
  <dataValidations count="1">
    <dataValidation type="list" allowBlank="1" showInputMessage="1" showErrorMessage="1" errorTitle="Resposta inválida" error="Selecione SIM ou NÃO." sqref="D17:D19" xr:uid="{FBFA7979-4639-43D2-A216-F04EE223EFDD}">
      <formula1>ListaSimNao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1:G22"/>
  <sheetViews>
    <sheetView showGridLines="0" showRowColHeaders="0" workbookViewId="0">
      <selection activeCell="D17" sqref="D17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1" spans="3:7" x14ac:dyDescent="0.3">
      <c r="C1" s="5" t="s">
        <v>128</v>
      </c>
      <c r="D1" s="5" t="s">
        <v>130</v>
      </c>
      <c r="E1" s="5" t="s">
        <v>132</v>
      </c>
      <c r="F1" s="5" t="s">
        <v>134</v>
      </c>
      <c r="G1" s="5" t="s">
        <v>138</v>
      </c>
    </row>
    <row r="3" spans="3:7" ht="20.399999999999999" thickBot="1" x14ac:dyDescent="0.45">
      <c r="C3" s="19" t="s">
        <v>23</v>
      </c>
      <c r="D3" s="19"/>
      <c r="E3" s="19"/>
    </row>
    <row r="4" spans="3:7" ht="22.05" customHeight="1" thickTop="1" x14ac:dyDescent="0.3">
      <c r="C4" s="20" t="s">
        <v>25</v>
      </c>
      <c r="D4" s="20"/>
      <c r="E4" s="20"/>
    </row>
    <row r="6" spans="3:7" ht="16.8" x14ac:dyDescent="0.4">
      <c r="C6" s="34" t="s">
        <v>83</v>
      </c>
      <c r="D6" s="35"/>
      <c r="E6" s="35"/>
    </row>
    <row r="7" spans="3:7" ht="20.55" customHeight="1" x14ac:dyDescent="0.3">
      <c r="C7" s="36">
        <f>SUM(D11,D16,D21)</f>
        <v>58377777</v>
      </c>
      <c r="D7" s="37"/>
    </row>
    <row r="9" spans="3:7" x14ac:dyDescent="0.3">
      <c r="C9" s="30" t="s">
        <v>80</v>
      </c>
      <c r="D9" s="31"/>
      <c r="E9" s="31"/>
    </row>
    <row r="10" spans="3:7" ht="16.8" x14ac:dyDescent="0.4">
      <c r="C10" s="32" t="s">
        <v>24</v>
      </c>
      <c r="D10" s="22" t="s">
        <v>48</v>
      </c>
    </row>
    <row r="11" spans="3:7" ht="16.8" x14ac:dyDescent="0.4">
      <c r="C11" s="32" t="s">
        <v>26</v>
      </c>
      <c r="D11" s="33">
        <v>500000</v>
      </c>
    </row>
    <row r="12" spans="3:7" ht="16.8" x14ac:dyDescent="0.4">
      <c r="C12" s="32" t="s">
        <v>27</v>
      </c>
      <c r="D12" s="22" t="s">
        <v>79</v>
      </c>
    </row>
    <row r="14" spans="3:7" x14ac:dyDescent="0.3">
      <c r="C14" s="30" t="s">
        <v>81</v>
      </c>
      <c r="D14" s="31"/>
      <c r="E14" s="31"/>
    </row>
    <row r="15" spans="3:7" ht="16.8" x14ac:dyDescent="0.4">
      <c r="C15" s="32" t="s">
        <v>24</v>
      </c>
      <c r="D15" s="22" t="s">
        <v>47</v>
      </c>
    </row>
    <row r="16" spans="3:7" ht="16.8" x14ac:dyDescent="0.4">
      <c r="C16" s="32" t="s">
        <v>26</v>
      </c>
      <c r="D16" s="33">
        <v>1312312</v>
      </c>
    </row>
    <row r="17" spans="3:5" ht="16.8" x14ac:dyDescent="0.4">
      <c r="C17" s="32" t="s">
        <v>27</v>
      </c>
      <c r="D17" s="22" t="s">
        <v>79</v>
      </c>
    </row>
    <row r="19" spans="3:5" x14ac:dyDescent="0.3">
      <c r="C19" s="30" t="s">
        <v>82</v>
      </c>
      <c r="D19" s="31"/>
      <c r="E19" s="31"/>
    </row>
    <row r="20" spans="3:5" ht="16.8" x14ac:dyDescent="0.4">
      <c r="C20" s="32" t="s">
        <v>24</v>
      </c>
      <c r="D20" s="22" t="s">
        <v>47</v>
      </c>
    </row>
    <row r="21" spans="3:5" ht="16.8" x14ac:dyDescent="0.4">
      <c r="C21" s="32" t="s">
        <v>26</v>
      </c>
      <c r="D21" s="33">
        <v>56565465</v>
      </c>
    </row>
    <row r="22" spans="3:5" ht="16.8" x14ac:dyDescent="0.4">
      <c r="C22" s="32" t="s">
        <v>27</v>
      </c>
      <c r="D22" s="22" t="s">
        <v>79</v>
      </c>
    </row>
  </sheetData>
  <sheetProtection sheet="1" objects="1" scenarios="1"/>
  <mergeCells count="2">
    <mergeCell ref="C4:E4"/>
    <mergeCell ref="C7:D7"/>
  </mergeCells>
  <dataValidations count="6">
    <dataValidation type="list" allowBlank="1" showInputMessage="1" showErrorMessage="1" errorTitle="Banco inválido" error="Selecione uma instituição da lista." sqref="D10" xr:uid="{CFAD2730-E277-4F2E-B2D6-1036FCBA442D}">
      <formula1>ListaBancos</formula1>
    </dataValidation>
    <dataValidation type="list" allowBlank="1" showInputMessage="1" showErrorMessage="1" errorTitle="Banco inválido" error="Selecione uma instituição da lista." sqref="D15" xr:uid="{66DD9443-FDE1-4827-81EE-569C5691BD90}">
      <formula1>ListaBancos</formula1>
    </dataValidation>
    <dataValidation type="list" allowBlank="1" showInputMessage="1" showErrorMessage="1" errorTitle="Banco inválido" error="Selecione uma instituição da lista." sqref="D20" xr:uid="{577CA854-591A-4C93-B809-75502C2BA1F4}">
      <formula1>ListaBancos</formula1>
    </dataValidation>
    <dataValidation type="decimal" operator="greaterThanOrEqual" allowBlank="1" showInputMessage="1" showErrorMessage="1" errorTitle="Valor inválido" error="Informe um valor maior ou igual a zero." sqref="D11" xr:uid="{5FB1DDE0-4749-4158-9F1C-DC5B771E9F57}">
      <formula1>0</formula1>
    </dataValidation>
    <dataValidation type="decimal" operator="greaterThanOrEqual" allowBlank="1" showInputMessage="1" showErrorMessage="1" errorTitle="Valor inválido" error="Informe um valor maior ou igual a zero." sqref="D16" xr:uid="{BB0E1821-E367-4858-A2FA-57D6BC9CB474}">
      <formula1>0</formula1>
    </dataValidation>
    <dataValidation type="decimal" operator="greaterThanOrEqual" allowBlank="1" showInputMessage="1" showErrorMessage="1" errorTitle="Valor inválido" error="Informe um valor maior ou igual a zero." sqref="D21" xr:uid="{F8FEFB41-BC26-4A3A-9DB1-204A9AA5BF72}">
      <formula1>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1:G35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1" spans="3:7" x14ac:dyDescent="0.3">
      <c r="C1" s="5" t="s">
        <v>128</v>
      </c>
      <c r="D1" s="5" t="s">
        <v>130</v>
      </c>
      <c r="E1" s="5" t="s">
        <v>132</v>
      </c>
      <c r="F1" s="5" t="s">
        <v>134</v>
      </c>
      <c r="G1" s="5" t="s">
        <v>138</v>
      </c>
    </row>
    <row r="3" spans="3:7" ht="20.399999999999999" thickBot="1" x14ac:dyDescent="0.45">
      <c r="C3" s="19" t="s">
        <v>85</v>
      </c>
      <c r="D3" s="19"/>
      <c r="E3" s="19"/>
    </row>
    <row r="4" spans="3:7" ht="22.05" customHeight="1" thickTop="1" x14ac:dyDescent="0.3">
      <c r="C4" s="20" t="s">
        <v>84</v>
      </c>
      <c r="D4" s="20"/>
      <c r="E4" s="20"/>
    </row>
    <row r="7" spans="3:7" ht="16.8" x14ac:dyDescent="0.4">
      <c r="C7" s="38" t="s">
        <v>89</v>
      </c>
      <c r="D7" s="38"/>
      <c r="E7" s="38"/>
    </row>
    <row r="8" spans="3:7" ht="15" x14ac:dyDescent="0.35">
      <c r="C8" s="2" t="s">
        <v>86</v>
      </c>
      <c r="D8" s="2" t="s">
        <v>87</v>
      </c>
      <c r="E8" s="2" t="s">
        <v>88</v>
      </c>
    </row>
    <row r="9" spans="3:7" ht="16.8" x14ac:dyDescent="0.4">
      <c r="C9" s="39">
        <v>45775</v>
      </c>
      <c r="D9" s="40" t="s">
        <v>90</v>
      </c>
      <c r="E9" s="41">
        <v>3000</v>
      </c>
    </row>
    <row r="10" spans="3:7" ht="16.8" x14ac:dyDescent="0.4">
      <c r="C10" s="39"/>
      <c r="D10" s="40"/>
      <c r="E10" s="41"/>
    </row>
    <row r="11" spans="3:7" ht="16.8" x14ac:dyDescent="0.4">
      <c r="C11" s="39"/>
      <c r="D11" s="40"/>
      <c r="E11" s="41"/>
    </row>
    <row r="12" spans="3:7" ht="16.8" x14ac:dyDescent="0.4">
      <c r="C12" s="39"/>
      <c r="D12" s="40"/>
      <c r="E12" s="41"/>
    </row>
    <row r="13" spans="3:7" ht="16.8" x14ac:dyDescent="0.4">
      <c r="C13" s="39"/>
      <c r="D13" s="40"/>
      <c r="E13" s="41"/>
    </row>
    <row r="14" spans="3:7" ht="16.8" x14ac:dyDescent="0.4">
      <c r="C14" s="39"/>
      <c r="D14" s="40"/>
      <c r="E14" s="41"/>
    </row>
    <row r="15" spans="3:7" ht="16.8" x14ac:dyDescent="0.4">
      <c r="C15" s="39"/>
      <c r="D15" s="40"/>
      <c r="E15" s="41"/>
    </row>
    <row r="16" spans="3:7" ht="16.8" x14ac:dyDescent="0.4">
      <c r="C16" s="39"/>
      <c r="D16" s="40"/>
      <c r="E16" s="41"/>
    </row>
    <row r="17" spans="3:5" ht="16.8" x14ac:dyDescent="0.4">
      <c r="C17" s="39"/>
      <c r="D17" s="40"/>
      <c r="E17" s="41"/>
    </row>
    <row r="18" spans="3:5" ht="16.8" x14ac:dyDescent="0.4">
      <c r="C18" s="39"/>
      <c r="D18" s="40"/>
      <c r="E18" s="41"/>
    </row>
    <row r="19" spans="3:5" ht="16.8" x14ac:dyDescent="0.4">
      <c r="C19" s="39"/>
      <c r="D19" s="40"/>
      <c r="E19" s="41"/>
    </row>
    <row r="20" spans="3:5" ht="16.8" x14ac:dyDescent="0.4">
      <c r="C20" s="39"/>
      <c r="D20" s="40"/>
      <c r="E20" s="41"/>
    </row>
    <row r="21" spans="3:5" ht="16.8" x14ac:dyDescent="0.4">
      <c r="C21" s="39"/>
      <c r="D21" s="40"/>
      <c r="E21" s="41"/>
    </row>
    <row r="22" spans="3:5" ht="16.8" x14ac:dyDescent="0.4">
      <c r="C22" s="39"/>
      <c r="D22" s="40"/>
      <c r="E22" s="41"/>
    </row>
    <row r="23" spans="3:5" ht="16.8" x14ac:dyDescent="0.4">
      <c r="C23" s="39"/>
      <c r="D23" s="40"/>
      <c r="E23" s="41"/>
    </row>
    <row r="24" spans="3:5" ht="16.8" x14ac:dyDescent="0.4">
      <c r="C24" s="39"/>
      <c r="D24" s="40"/>
      <c r="E24" s="41"/>
    </row>
    <row r="25" spans="3:5" ht="16.8" x14ac:dyDescent="0.4">
      <c r="C25" s="39"/>
      <c r="D25" s="40"/>
      <c r="E25" s="41"/>
    </row>
    <row r="26" spans="3:5" ht="16.8" x14ac:dyDescent="0.4">
      <c r="C26" s="39"/>
      <c r="D26" s="40"/>
      <c r="E26" s="41"/>
    </row>
    <row r="27" spans="3:5" ht="16.8" x14ac:dyDescent="0.4">
      <c r="C27" s="39"/>
      <c r="D27" s="40"/>
      <c r="E27" s="41"/>
    </row>
    <row r="28" spans="3:5" ht="16.8" x14ac:dyDescent="0.4">
      <c r="C28" s="39"/>
      <c r="D28" s="40"/>
      <c r="E28" s="41"/>
    </row>
    <row r="29" spans="3:5" ht="16.8" x14ac:dyDescent="0.4">
      <c r="C29" s="39"/>
      <c r="D29" s="40"/>
      <c r="E29" s="41"/>
    </row>
    <row r="30" spans="3:5" ht="16.8" x14ac:dyDescent="0.4">
      <c r="C30" s="39"/>
      <c r="D30" s="40"/>
      <c r="E30" s="41"/>
    </row>
    <row r="31" spans="3:5" ht="16.8" x14ac:dyDescent="0.4">
      <c r="C31" s="39"/>
      <c r="D31" s="40"/>
      <c r="E31" s="41"/>
    </row>
    <row r="32" spans="3:5" ht="16.8" x14ac:dyDescent="0.4">
      <c r="C32" s="39"/>
      <c r="D32" s="40"/>
      <c r="E32" s="41"/>
    </row>
    <row r="33" spans="3:5" ht="16.8" x14ac:dyDescent="0.4">
      <c r="C33" s="39"/>
      <c r="D33" s="40"/>
      <c r="E33" s="41"/>
    </row>
    <row r="34" spans="3:5" ht="16.8" x14ac:dyDescent="0.4">
      <c r="C34" s="39"/>
      <c r="D34" s="40"/>
      <c r="E34" s="41"/>
    </row>
    <row r="35" spans="3:5" ht="16.8" x14ac:dyDescent="0.4">
      <c r="C35" s="39"/>
      <c r="D35" s="40"/>
      <c r="E35" s="41"/>
    </row>
  </sheetData>
  <sheetProtection sheet="1" objects="1" scenarios="1"/>
  <mergeCells count="2">
    <mergeCell ref="C4:E4"/>
    <mergeCell ref="C7:E7"/>
  </mergeCells>
  <conditionalFormatting sqref="E9:E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{ADEF9E47-FDF2-4FA8-BC8E-BC6125D850CF}</x14:id>
        </ext>
      </extLst>
    </cfRule>
  </conditionalFormatting>
  <dataValidations count="3">
    <dataValidation type="list" allowBlank="1" showInputMessage="1" showErrorMessage="1" errorTitle="Categoria inválida" error="Selecione uma categoria da lista." sqref="D9:D35" xr:uid="{1FC219A8-3788-4CF3-8DC5-5D278618D671}">
      <formula1>ListaCategorias</formula1>
    </dataValidation>
    <dataValidation type="decimal" operator="greaterThanOrEqual" allowBlank="1" showInputMessage="1" showErrorMessage="1" errorTitle="Valor inválido" error="Informe um valor maior ou igual a zero." sqref="E9:E35" xr:uid="{B10E250F-8C51-4D1D-A874-9329CBB73244}">
      <formula1>0</formula1>
    </dataValidation>
    <dataValidation type="custom" allowBlank="1" showInputMessage="1" showErrorMessage="1" errorTitle="Data inválida" error="Informe uma data entre 01/01/2020 e 31/12/2026." sqref="C9:C35" xr:uid="{4AE07E22-08D5-4666-9E3B-755E3F45088F}">
      <formula1>OR(C9="",AND(ISNUMBER(C9),C9&gt;=DATE(2020,1,1),C9&lt;=DATE(2026,12,31)))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EF9E47-FDF2-4FA8-BC8E-BC6125D850CF}">
            <x14:dataBar minLength="0" maxLength="100" negativeBarColorSameAsPositive="1" axisPosition="none">
              <x14:cfvo type="min"/>
              <x14:cfvo type="max"/>
            </x14:dataBar>
          </x14:cfRule>
          <xm:sqref>E9:E35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C51"/>
  <sheetViews>
    <sheetView showGridLines="0" topLeftCell="A39" workbookViewId="0"/>
  </sheetViews>
  <sheetFormatPr defaultRowHeight="14.4" x14ac:dyDescent="0.3"/>
  <cols>
    <col min="1" max="1" width="34.88671875" bestFit="1" customWidth="1"/>
    <col min="2" max="2" width="15.21875" bestFit="1" customWidth="1"/>
    <col min="3" max="3" width="7.88671875" bestFit="1" customWidth="1"/>
  </cols>
  <sheetData>
    <row r="1" spans="1:3" x14ac:dyDescent="0.3">
      <c r="A1" s="14" t="s">
        <v>28</v>
      </c>
      <c r="B1" s="14" t="s">
        <v>160</v>
      </c>
      <c r="C1" s="14" t="s">
        <v>167</v>
      </c>
    </row>
    <row r="2" spans="1:3" x14ac:dyDescent="0.3">
      <c r="A2" s="49" t="s">
        <v>29</v>
      </c>
      <c r="B2" s="49" t="s">
        <v>90</v>
      </c>
      <c r="C2" s="49" t="s">
        <v>16</v>
      </c>
    </row>
    <row r="3" spans="1:3" x14ac:dyDescent="0.3">
      <c r="A3" s="49" t="s">
        <v>30</v>
      </c>
      <c r="B3" s="49" t="s">
        <v>161</v>
      </c>
      <c r="C3" s="49" t="s">
        <v>17</v>
      </c>
    </row>
    <row r="4" spans="1:3" x14ac:dyDescent="0.3">
      <c r="A4" s="49" t="s">
        <v>31</v>
      </c>
      <c r="B4" s="49" t="s">
        <v>162</v>
      </c>
      <c r="C4" s="49"/>
    </row>
    <row r="5" spans="1:3" x14ac:dyDescent="0.3">
      <c r="A5" s="49" t="s">
        <v>32</v>
      </c>
      <c r="B5" s="49" t="s">
        <v>163</v>
      </c>
      <c r="C5" s="49"/>
    </row>
    <row r="6" spans="1:3" x14ac:dyDescent="0.3">
      <c r="A6" s="49" t="s">
        <v>33</v>
      </c>
      <c r="B6" s="49" t="s">
        <v>164</v>
      </c>
      <c r="C6" s="49"/>
    </row>
    <row r="7" spans="1:3" x14ac:dyDescent="0.3">
      <c r="A7" s="49" t="s">
        <v>34</v>
      </c>
      <c r="B7" s="49" t="s">
        <v>165</v>
      </c>
      <c r="C7" s="49"/>
    </row>
    <row r="8" spans="1:3" x14ac:dyDescent="0.3">
      <c r="A8" s="49" t="s">
        <v>35</v>
      </c>
      <c r="B8" s="49" t="s">
        <v>166</v>
      </c>
      <c r="C8" s="49"/>
    </row>
    <row r="9" spans="1:3" x14ac:dyDescent="0.3">
      <c r="A9" s="49" t="s">
        <v>36</v>
      </c>
      <c r="B9" s="49"/>
      <c r="C9" s="49"/>
    </row>
    <row r="10" spans="1:3" x14ac:dyDescent="0.3">
      <c r="A10" s="49" t="s">
        <v>37</v>
      </c>
      <c r="B10" s="49"/>
      <c r="C10" s="49"/>
    </row>
    <row r="11" spans="1:3" x14ac:dyDescent="0.3">
      <c r="A11" s="49" t="s">
        <v>38</v>
      </c>
      <c r="B11" s="49"/>
      <c r="C11" s="49"/>
    </row>
    <row r="12" spans="1:3" x14ac:dyDescent="0.3">
      <c r="A12" s="49" t="s">
        <v>39</v>
      </c>
      <c r="B12" s="49"/>
      <c r="C12" s="49"/>
    </row>
    <row r="13" spans="1:3" x14ac:dyDescent="0.3">
      <c r="A13" s="49" t="s">
        <v>40</v>
      </c>
      <c r="B13" s="49"/>
      <c r="C13" s="49"/>
    </row>
    <row r="14" spans="1:3" x14ac:dyDescent="0.3">
      <c r="A14" s="49" t="s">
        <v>41</v>
      </c>
      <c r="B14" s="49"/>
      <c r="C14" s="49"/>
    </row>
    <row r="15" spans="1:3" x14ac:dyDescent="0.3">
      <c r="A15" s="49" t="s">
        <v>42</v>
      </c>
      <c r="B15" s="49"/>
      <c r="C15" s="49"/>
    </row>
    <row r="16" spans="1:3" x14ac:dyDescent="0.3">
      <c r="A16" s="49" t="s">
        <v>43</v>
      </c>
      <c r="B16" s="49"/>
      <c r="C16" s="49"/>
    </row>
    <row r="17" spans="1:3" x14ac:dyDescent="0.3">
      <c r="A17" s="49" t="s">
        <v>44</v>
      </c>
      <c r="B17" s="49"/>
      <c r="C17" s="49"/>
    </row>
    <row r="18" spans="1:3" x14ac:dyDescent="0.3">
      <c r="A18" s="49" t="s">
        <v>45</v>
      </c>
      <c r="B18" s="49"/>
      <c r="C18" s="49"/>
    </row>
    <row r="19" spans="1:3" x14ac:dyDescent="0.3">
      <c r="A19" s="49" t="s">
        <v>46</v>
      </c>
      <c r="B19" s="49"/>
      <c r="C19" s="49"/>
    </row>
    <row r="20" spans="1:3" x14ac:dyDescent="0.3">
      <c r="A20" s="49" t="s">
        <v>47</v>
      </c>
      <c r="B20" s="49"/>
      <c r="C20" s="49"/>
    </row>
    <row r="21" spans="1:3" x14ac:dyDescent="0.3">
      <c r="A21" s="49" t="s">
        <v>48</v>
      </c>
      <c r="B21" s="49"/>
      <c r="C21" s="49"/>
    </row>
    <row r="22" spans="1:3" x14ac:dyDescent="0.3">
      <c r="A22" s="49" t="s">
        <v>49</v>
      </c>
      <c r="B22" s="49"/>
      <c r="C22" s="49"/>
    </row>
    <row r="23" spans="1:3" x14ac:dyDescent="0.3">
      <c r="A23" s="49" t="s">
        <v>50</v>
      </c>
      <c r="B23" s="49"/>
      <c r="C23" s="49"/>
    </row>
    <row r="24" spans="1:3" x14ac:dyDescent="0.3">
      <c r="A24" s="49" t="s">
        <v>51</v>
      </c>
      <c r="B24" s="49"/>
      <c r="C24" s="49"/>
    </row>
    <row r="25" spans="1:3" x14ac:dyDescent="0.3">
      <c r="A25" s="49" t="s">
        <v>52</v>
      </c>
      <c r="B25" s="49"/>
      <c r="C25" s="49"/>
    </row>
    <row r="26" spans="1:3" x14ac:dyDescent="0.3">
      <c r="A26" s="49" t="s">
        <v>53</v>
      </c>
      <c r="B26" s="49"/>
      <c r="C26" s="49"/>
    </row>
    <row r="27" spans="1:3" x14ac:dyDescent="0.3">
      <c r="A27" s="49" t="s">
        <v>54</v>
      </c>
      <c r="B27" s="49"/>
      <c r="C27" s="49"/>
    </row>
    <row r="28" spans="1:3" x14ac:dyDescent="0.3">
      <c r="A28" s="49" t="s">
        <v>55</v>
      </c>
      <c r="B28" s="49"/>
      <c r="C28" s="49"/>
    </row>
    <row r="29" spans="1:3" x14ac:dyDescent="0.3">
      <c r="A29" s="49" t="s">
        <v>56</v>
      </c>
      <c r="B29" s="49"/>
      <c r="C29" s="49"/>
    </row>
    <row r="30" spans="1:3" x14ac:dyDescent="0.3">
      <c r="A30" s="49" t="s">
        <v>57</v>
      </c>
      <c r="B30" s="49"/>
      <c r="C30" s="49"/>
    </row>
    <row r="31" spans="1:3" x14ac:dyDescent="0.3">
      <c r="A31" s="49" t="s">
        <v>58</v>
      </c>
      <c r="B31" s="49"/>
      <c r="C31" s="49"/>
    </row>
    <row r="32" spans="1:3" x14ac:dyDescent="0.3">
      <c r="A32" s="49" t="s">
        <v>59</v>
      </c>
      <c r="B32" s="49"/>
      <c r="C32" s="49"/>
    </row>
    <row r="33" spans="1:3" x14ac:dyDescent="0.3">
      <c r="A33" s="49" t="s">
        <v>60</v>
      </c>
      <c r="B33" s="49"/>
      <c r="C33" s="49"/>
    </row>
    <row r="34" spans="1:3" x14ac:dyDescent="0.3">
      <c r="A34" s="49" t="s">
        <v>61</v>
      </c>
      <c r="B34" s="49"/>
      <c r="C34" s="49"/>
    </row>
    <row r="35" spans="1:3" x14ac:dyDescent="0.3">
      <c r="A35" s="49" t="s">
        <v>62</v>
      </c>
      <c r="B35" s="49"/>
      <c r="C35" s="49"/>
    </row>
    <row r="36" spans="1:3" x14ac:dyDescent="0.3">
      <c r="A36" s="49" t="s">
        <v>63</v>
      </c>
      <c r="B36" s="49"/>
      <c r="C36" s="49"/>
    </row>
    <row r="37" spans="1:3" x14ac:dyDescent="0.3">
      <c r="A37" s="49" t="s">
        <v>64</v>
      </c>
      <c r="B37" s="49"/>
      <c r="C37" s="49"/>
    </row>
    <row r="38" spans="1:3" x14ac:dyDescent="0.3">
      <c r="A38" s="49" t="s">
        <v>65</v>
      </c>
      <c r="B38" s="49"/>
      <c r="C38" s="49"/>
    </row>
    <row r="39" spans="1:3" x14ac:dyDescent="0.3">
      <c r="A39" s="49" t="s">
        <v>66</v>
      </c>
      <c r="B39" s="49"/>
      <c r="C39" s="49"/>
    </row>
    <row r="40" spans="1:3" x14ac:dyDescent="0.3">
      <c r="A40" s="49" t="s">
        <v>67</v>
      </c>
      <c r="B40" s="49"/>
      <c r="C40" s="49"/>
    </row>
    <row r="41" spans="1:3" x14ac:dyDescent="0.3">
      <c r="A41" s="49" t="s">
        <v>68</v>
      </c>
      <c r="B41" s="49"/>
      <c r="C41" s="49"/>
    </row>
    <row r="42" spans="1:3" x14ac:dyDescent="0.3">
      <c r="A42" s="49" t="s">
        <v>69</v>
      </c>
      <c r="B42" s="49"/>
      <c r="C42" s="49"/>
    </row>
    <row r="43" spans="1:3" x14ac:dyDescent="0.3">
      <c r="A43" s="49" t="s">
        <v>70</v>
      </c>
      <c r="B43" s="49"/>
      <c r="C43" s="49"/>
    </row>
    <row r="44" spans="1:3" x14ac:dyDescent="0.3">
      <c r="A44" s="49" t="s">
        <v>71</v>
      </c>
      <c r="B44" s="49"/>
      <c r="C44" s="49"/>
    </row>
    <row r="45" spans="1:3" x14ac:dyDescent="0.3">
      <c r="A45" s="49" t="s">
        <v>72</v>
      </c>
      <c r="B45" s="49"/>
      <c r="C45" s="49"/>
    </row>
    <row r="46" spans="1:3" x14ac:dyDescent="0.3">
      <c r="A46" s="49" t="s">
        <v>73</v>
      </c>
      <c r="B46" s="49"/>
      <c r="C46" s="49"/>
    </row>
    <row r="47" spans="1:3" x14ac:dyDescent="0.3">
      <c r="A47" s="49" t="s">
        <v>74</v>
      </c>
      <c r="B47" s="49"/>
      <c r="C47" s="49"/>
    </row>
    <row r="48" spans="1:3" x14ac:dyDescent="0.3">
      <c r="A48" s="49" t="s">
        <v>75</v>
      </c>
      <c r="B48" s="49"/>
      <c r="C48" s="49"/>
    </row>
    <row r="49" spans="1:3" x14ac:dyDescent="0.3">
      <c r="A49" s="49" t="s">
        <v>76</v>
      </c>
      <c r="B49" s="49"/>
      <c r="C49" s="49"/>
    </row>
    <row r="50" spans="1:3" x14ac:dyDescent="0.3">
      <c r="A50" s="49" t="s">
        <v>77</v>
      </c>
      <c r="B50" s="49"/>
      <c r="C50" s="49"/>
    </row>
    <row r="51" spans="1:3" x14ac:dyDescent="0.3">
      <c r="A51" s="49" t="s">
        <v>78</v>
      </c>
      <c r="B51" s="49"/>
      <c r="C51" s="4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DC81-8384-4DC8-9DE3-D4236053FE26}">
  <dimension ref="A1:H34"/>
  <sheetViews>
    <sheetView workbookViewId="0">
      <selection activeCell="B11" sqref="B11:H11"/>
    </sheetView>
  </sheetViews>
  <sheetFormatPr defaultRowHeight="14.4" x14ac:dyDescent="0.3"/>
  <cols>
    <col min="1" max="1" width="23.109375" customWidth="1"/>
    <col min="2" max="8" width="11.44140625" customWidth="1"/>
  </cols>
  <sheetData>
    <row r="1" spans="1:8" ht="23.4" x14ac:dyDescent="0.45">
      <c r="A1" s="42" t="s">
        <v>111</v>
      </c>
      <c r="B1" s="42"/>
      <c r="C1" s="6"/>
      <c r="D1" s="6"/>
      <c r="E1" s="6"/>
      <c r="F1" s="6"/>
      <c r="G1" s="6"/>
      <c r="H1" s="42"/>
    </row>
    <row r="2" spans="1:8" x14ac:dyDescent="0.3">
      <c r="A2" s="43" t="s">
        <v>112</v>
      </c>
      <c r="B2" s="43"/>
      <c r="C2" s="43"/>
      <c r="D2" s="43"/>
      <c r="E2" s="43"/>
      <c r="F2" s="43"/>
      <c r="G2" s="43"/>
      <c r="H2" s="43"/>
    </row>
    <row r="4" spans="1:8" x14ac:dyDescent="0.3">
      <c r="A4" s="44" t="s">
        <v>113</v>
      </c>
      <c r="B4" s="44"/>
      <c r="C4" s="44"/>
      <c r="D4" s="44"/>
      <c r="E4" s="44"/>
      <c r="F4" s="44"/>
      <c r="G4" s="44"/>
      <c r="H4" s="44"/>
    </row>
    <row r="5" spans="1:8" x14ac:dyDescent="0.3">
      <c r="A5" s="45" t="s">
        <v>114</v>
      </c>
      <c r="B5" s="46" t="s">
        <v>115</v>
      </c>
      <c r="C5" s="46"/>
      <c r="D5" s="46"/>
      <c r="E5" s="46"/>
      <c r="F5" s="46"/>
      <c r="G5" s="46"/>
      <c r="H5" s="46"/>
    </row>
    <row r="6" spans="1:8" x14ac:dyDescent="0.3">
      <c r="A6" s="47" t="s">
        <v>116</v>
      </c>
      <c r="B6" s="48" t="s">
        <v>117</v>
      </c>
      <c r="C6" s="48"/>
      <c r="D6" s="48"/>
      <c r="E6" s="48"/>
      <c r="F6" s="48"/>
      <c r="G6" s="48"/>
      <c r="H6" s="48"/>
    </row>
    <row r="8" spans="1:8" x14ac:dyDescent="0.3">
      <c r="A8" s="44" t="s">
        <v>118</v>
      </c>
      <c r="B8" s="44"/>
      <c r="C8" s="44"/>
      <c r="D8" s="44"/>
      <c r="E8" s="44"/>
      <c r="F8" s="44"/>
      <c r="G8" s="44"/>
      <c r="H8" s="44"/>
    </row>
    <row r="9" spans="1:8" x14ac:dyDescent="0.3">
      <c r="A9" s="45" t="s">
        <v>119</v>
      </c>
      <c r="B9" s="46" t="s">
        <v>120</v>
      </c>
      <c r="C9" s="46"/>
      <c r="D9" s="46"/>
      <c r="E9" s="46"/>
      <c r="F9" s="46"/>
      <c r="G9" s="46"/>
      <c r="H9" s="46"/>
    </row>
    <row r="10" spans="1:8" x14ac:dyDescent="0.3">
      <c r="A10" s="47" t="s">
        <v>121</v>
      </c>
      <c r="B10" s="48" t="s">
        <v>122</v>
      </c>
      <c r="C10" s="48"/>
      <c r="D10" s="48"/>
      <c r="E10" s="48"/>
      <c r="F10" s="48"/>
      <c r="G10" s="48"/>
      <c r="H10" s="48"/>
    </row>
    <row r="11" spans="1:8" x14ac:dyDescent="0.3">
      <c r="A11" s="45" t="s">
        <v>103</v>
      </c>
      <c r="B11" s="46" t="s">
        <v>123</v>
      </c>
      <c r="C11" s="46"/>
      <c r="D11" s="46"/>
      <c r="E11" s="46"/>
      <c r="F11" s="46"/>
      <c r="G11" s="46"/>
      <c r="H11" s="46"/>
    </row>
    <row r="12" spans="1:8" x14ac:dyDescent="0.3">
      <c r="A12" s="47" t="s">
        <v>104</v>
      </c>
      <c r="B12" s="48" t="s">
        <v>124</v>
      </c>
      <c r="C12" s="48"/>
      <c r="D12" s="48"/>
      <c r="E12" s="48"/>
      <c r="F12" s="48"/>
      <c r="G12" s="48"/>
      <c r="H12" s="48"/>
    </row>
    <row r="13" spans="1:8" x14ac:dyDescent="0.3">
      <c r="A13" s="45" t="s">
        <v>125</v>
      </c>
      <c r="B13" s="46" t="s">
        <v>126</v>
      </c>
      <c r="C13" s="46"/>
      <c r="D13" s="46"/>
      <c r="E13" s="46"/>
      <c r="F13" s="46"/>
      <c r="G13" s="46"/>
      <c r="H13" s="46"/>
    </row>
    <row r="15" spans="1:8" x14ac:dyDescent="0.3">
      <c r="A15" s="44" t="s">
        <v>127</v>
      </c>
      <c r="B15" s="44"/>
      <c r="C15" s="44"/>
      <c r="D15" s="44"/>
      <c r="E15" s="44"/>
      <c r="F15" s="44"/>
      <c r="G15" s="44"/>
      <c r="H15" s="44"/>
    </row>
    <row r="16" spans="1:8" x14ac:dyDescent="0.3">
      <c r="A16" s="47" t="s">
        <v>128</v>
      </c>
      <c r="B16" s="48" t="s">
        <v>129</v>
      </c>
      <c r="C16" s="48"/>
      <c r="D16" s="48"/>
      <c r="E16" s="48"/>
      <c r="F16" s="48"/>
      <c r="G16" s="48"/>
      <c r="H16" s="48"/>
    </row>
    <row r="17" spans="1:8" x14ac:dyDescent="0.3">
      <c r="A17" s="45" t="s">
        <v>130</v>
      </c>
      <c r="B17" s="46" t="s">
        <v>131</v>
      </c>
      <c r="C17" s="46"/>
      <c r="D17" s="46"/>
      <c r="E17" s="46"/>
      <c r="F17" s="46"/>
      <c r="G17" s="46"/>
      <c r="H17" s="46"/>
    </row>
    <row r="18" spans="1:8" x14ac:dyDescent="0.3">
      <c r="A18" s="47" t="s">
        <v>132</v>
      </c>
      <c r="B18" s="48" t="s">
        <v>133</v>
      </c>
      <c r="C18" s="48"/>
      <c r="D18" s="48"/>
      <c r="E18" s="48"/>
      <c r="F18" s="48"/>
      <c r="G18" s="48"/>
      <c r="H18" s="48"/>
    </row>
    <row r="19" spans="1:8" x14ac:dyDescent="0.3">
      <c r="A19" s="45" t="s">
        <v>134</v>
      </c>
      <c r="B19" s="46" t="s">
        <v>135</v>
      </c>
      <c r="C19" s="46"/>
      <c r="D19" s="46"/>
      <c r="E19" s="46"/>
      <c r="F19" s="46"/>
      <c r="G19" s="46"/>
      <c r="H19" s="46"/>
    </row>
    <row r="20" spans="1:8" x14ac:dyDescent="0.3">
      <c r="A20" s="47" t="s">
        <v>136</v>
      </c>
      <c r="B20" s="48" t="s">
        <v>137</v>
      </c>
      <c r="C20" s="48"/>
      <c r="D20" s="48"/>
      <c r="E20" s="48"/>
      <c r="F20" s="48"/>
      <c r="G20" s="48"/>
      <c r="H20" s="48"/>
    </row>
    <row r="21" spans="1:8" x14ac:dyDescent="0.3">
      <c r="A21" s="45" t="s">
        <v>138</v>
      </c>
      <c r="B21" s="46" t="s">
        <v>139</v>
      </c>
      <c r="C21" s="46"/>
      <c r="D21" s="46"/>
      <c r="E21" s="46"/>
      <c r="F21" s="46"/>
      <c r="G21" s="46"/>
      <c r="H21" s="46"/>
    </row>
    <row r="23" spans="1:8" x14ac:dyDescent="0.3">
      <c r="A23" s="44" t="s">
        <v>140</v>
      </c>
      <c r="B23" s="44"/>
      <c r="C23" s="44"/>
      <c r="D23" s="44"/>
      <c r="E23" s="44"/>
      <c r="F23" s="44"/>
      <c r="G23" s="44"/>
      <c r="H23" s="44"/>
    </row>
    <row r="24" spans="1:8" x14ac:dyDescent="0.3">
      <c r="A24" s="47" t="s">
        <v>141</v>
      </c>
      <c r="B24" s="48" t="s">
        <v>142</v>
      </c>
      <c r="C24" s="48"/>
      <c r="D24" s="48"/>
      <c r="E24" s="48"/>
      <c r="F24" s="48"/>
      <c r="G24" s="48"/>
      <c r="H24" s="48"/>
    </row>
    <row r="25" spans="1:8" x14ac:dyDescent="0.3">
      <c r="A25" s="45" t="s">
        <v>143</v>
      </c>
      <c r="B25" s="46" t="s">
        <v>144</v>
      </c>
      <c r="C25" s="46"/>
      <c r="D25" s="46"/>
      <c r="E25" s="46"/>
      <c r="F25" s="46"/>
      <c r="G25" s="46"/>
      <c r="H25" s="46"/>
    </row>
    <row r="26" spans="1:8" x14ac:dyDescent="0.3">
      <c r="A26" s="47" t="s">
        <v>145</v>
      </c>
      <c r="B26" s="48" t="s">
        <v>146</v>
      </c>
      <c r="C26" s="48"/>
      <c r="D26" s="48"/>
      <c r="E26" s="48"/>
      <c r="F26" s="48"/>
      <c r="G26" s="48"/>
      <c r="H26" s="48"/>
    </row>
    <row r="27" spans="1:8" x14ac:dyDescent="0.3">
      <c r="A27" s="45" t="s">
        <v>147</v>
      </c>
      <c r="B27" s="46" t="s">
        <v>148</v>
      </c>
      <c r="C27" s="46"/>
      <c r="D27" s="46"/>
      <c r="E27" s="46"/>
      <c r="F27" s="46"/>
      <c r="G27" s="46"/>
      <c r="H27" s="46"/>
    </row>
    <row r="29" spans="1:8" x14ac:dyDescent="0.3">
      <c r="A29" s="44" t="s">
        <v>149</v>
      </c>
      <c r="B29" s="44"/>
      <c r="C29" s="44"/>
      <c r="D29" s="44"/>
      <c r="E29" s="44"/>
      <c r="F29" s="44"/>
      <c r="G29" s="44"/>
      <c r="H29" s="44"/>
    </row>
    <row r="30" spans="1:8" x14ac:dyDescent="0.3">
      <c r="A30" s="47" t="s">
        <v>150</v>
      </c>
      <c r="B30" s="48" t="s">
        <v>151</v>
      </c>
      <c r="C30" s="48"/>
      <c r="D30" s="48"/>
      <c r="E30" s="48"/>
      <c r="F30" s="48"/>
      <c r="G30" s="48"/>
      <c r="H30" s="48"/>
    </row>
    <row r="31" spans="1:8" x14ac:dyDescent="0.3">
      <c r="A31" s="45" t="s">
        <v>152</v>
      </c>
      <c r="B31" s="46" t="s">
        <v>153</v>
      </c>
      <c r="C31" s="46"/>
      <c r="D31" s="46"/>
      <c r="E31" s="46"/>
      <c r="F31" s="46"/>
      <c r="G31" s="46"/>
      <c r="H31" s="46"/>
    </row>
    <row r="32" spans="1:8" x14ac:dyDescent="0.3">
      <c r="A32" s="47" t="s">
        <v>154</v>
      </c>
      <c r="B32" s="48" t="s">
        <v>155</v>
      </c>
      <c r="C32" s="48"/>
      <c r="D32" s="48"/>
      <c r="E32" s="48"/>
      <c r="F32" s="48"/>
      <c r="G32" s="48"/>
      <c r="H32" s="48"/>
    </row>
    <row r="33" spans="1:8" x14ac:dyDescent="0.3">
      <c r="A33" s="45" t="s">
        <v>156</v>
      </c>
      <c r="B33" s="46" t="s">
        <v>157</v>
      </c>
      <c r="C33" s="46"/>
      <c r="D33" s="46"/>
      <c r="E33" s="46"/>
      <c r="F33" s="46"/>
      <c r="G33" s="46"/>
      <c r="H33" s="46"/>
    </row>
    <row r="34" spans="1:8" x14ac:dyDescent="0.3">
      <c r="A34" s="47" t="s">
        <v>158</v>
      </c>
      <c r="B34" s="48" t="s">
        <v>159</v>
      </c>
      <c r="C34" s="48"/>
      <c r="D34" s="48"/>
      <c r="E34" s="48"/>
      <c r="F34" s="48"/>
      <c r="G34" s="48"/>
      <c r="H34" s="48"/>
    </row>
  </sheetData>
  <mergeCells count="29">
    <mergeCell ref="B32:H32"/>
    <mergeCell ref="B33:H33"/>
    <mergeCell ref="B34:H34"/>
    <mergeCell ref="B24:H24"/>
    <mergeCell ref="B25:H25"/>
    <mergeCell ref="B26:H26"/>
    <mergeCell ref="B27:H27"/>
    <mergeCell ref="B30:H30"/>
    <mergeCell ref="B31:H31"/>
    <mergeCell ref="A29:H29"/>
    <mergeCell ref="B5:H5"/>
    <mergeCell ref="B6:H6"/>
    <mergeCell ref="B9:H9"/>
    <mergeCell ref="B10:H10"/>
    <mergeCell ref="B11:H11"/>
    <mergeCell ref="B12:H12"/>
    <mergeCell ref="B13:H13"/>
    <mergeCell ref="B16:H16"/>
    <mergeCell ref="B17:H17"/>
    <mergeCell ref="A1:H1"/>
    <mergeCell ref="A2:H2"/>
    <mergeCell ref="A4:H4"/>
    <mergeCell ref="A8:H8"/>
    <mergeCell ref="A15:H15"/>
    <mergeCell ref="A23:H23"/>
    <mergeCell ref="B18:H18"/>
    <mergeCell ref="B19:H19"/>
    <mergeCell ref="B20:H20"/>
    <mergeCell ref="B21:H2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INÍCIO</vt:lpstr>
      <vt:lpstr>TITULAR</vt:lpstr>
      <vt:lpstr>INFORMES</vt:lpstr>
      <vt:lpstr>NOTAS</vt:lpstr>
      <vt:lpstr>TABELAS</vt:lpstr>
      <vt:lpstr>DOCUMENTAÇÃO</vt:lpstr>
      <vt:lpstr>ListaBancos</vt:lpstr>
      <vt:lpstr>ListaCategorias</vt:lpstr>
      <vt:lpstr>ListaSimNao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Paula Pereira</cp:lastModifiedBy>
  <dcterms:created xsi:type="dcterms:W3CDTF">2025-04-28T13:43:30Z</dcterms:created>
  <dcterms:modified xsi:type="dcterms:W3CDTF">2026-09-29T18:14:41Z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